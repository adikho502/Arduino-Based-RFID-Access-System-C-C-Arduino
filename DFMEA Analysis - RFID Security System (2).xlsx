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8062D4DB-06AC-4F57-ABA7-3A698113C0B5}" xr6:coauthVersionLast="47" xr6:coauthVersionMax="47" xr10:uidLastSave="{00000000-0000-0000-0000-000000000000}"/>
  <bookViews>
    <workbookView xWindow="-98" yWindow="-98" windowWidth="21795" windowHeight="13875" xr2:uid="{225EFD76-8CB4-4D28-AF15-DBAFAA0B2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/>
  <c r="S32" i="1"/>
  <c r="S30" i="1"/>
  <c r="S28" i="1"/>
  <c r="S26" i="1"/>
  <c r="S24" i="1"/>
  <c r="S22" i="1"/>
  <c r="S20" i="1"/>
</calcChain>
</file>

<file path=xl/sharedStrings.xml><?xml version="1.0" encoding="utf-8"?>
<sst xmlns="http://schemas.openxmlformats.org/spreadsheetml/2006/main" count="52" uniqueCount="49">
  <si>
    <t>Component</t>
  </si>
  <si>
    <t xml:space="preserve">Failure Mode </t>
  </si>
  <si>
    <t>Effect of Failure</t>
  </si>
  <si>
    <t>Severity (S)</t>
  </si>
  <si>
    <t>Occurrence (O)</t>
  </si>
  <si>
    <t>Detection (D)</t>
  </si>
  <si>
    <t xml:space="preserve">RFID Scanner </t>
  </si>
  <si>
    <t>Ultra-Sonic Sensor</t>
  </si>
  <si>
    <t>Latch Servo</t>
  </si>
  <si>
    <t>LCD Display</t>
  </si>
  <si>
    <t>Gauge Servo</t>
  </si>
  <si>
    <t>Buzzer</t>
  </si>
  <si>
    <t>Fails to Read RFID Card</t>
  </si>
  <si>
    <t>Access is Denied despite a Valid Card (Lockout)</t>
  </si>
  <si>
    <t>Fails to Detect Nearby Objects</t>
  </si>
  <si>
    <t>System Stays in Idle State Even for Intruder</t>
  </si>
  <si>
    <t xml:space="preserve">Latch does not open the door physically </t>
  </si>
  <si>
    <t>Joy-Stick Button</t>
  </si>
  <si>
    <t>Fails to Register a Press</t>
  </si>
  <si>
    <t>Stuck in State 3; Cannot Reset unles unplugged</t>
  </si>
  <si>
    <t>Flickers/ Does not Update</t>
  </si>
  <si>
    <t>User Does not see display Feedback</t>
  </si>
  <si>
    <t>Mapping Error/ Servo Failure</t>
  </si>
  <si>
    <t>No Distance Visual Display; System Works Fine</t>
  </si>
  <si>
    <t>Pin Dies/ Library Fails</t>
  </si>
  <si>
    <t>No Audio Feedback for State Switch/ Indicators</t>
  </si>
  <si>
    <t>LED's Die/ Wiring Issue/ Mapping Error</t>
  </si>
  <si>
    <t>Distance/ Alarm Visual Indicator not Working</t>
  </si>
  <si>
    <t>Risk Priority Number (RPN)</t>
  </si>
  <si>
    <t>Servo Rotates Too Little/ Too much</t>
  </si>
  <si>
    <t>Design Failure Mode Effective Analysis - RFID Security Access System</t>
  </si>
  <si>
    <t>Improve Sensor Mounting</t>
  </si>
  <si>
    <t>No Action</t>
  </si>
  <si>
    <t>Better Organize LED Wires/ Stronger Led's</t>
  </si>
  <si>
    <t>Recommended Action</t>
  </si>
  <si>
    <t>Last Updated: August 7th, 2025</t>
  </si>
  <si>
    <t>Version: v1.0</t>
  </si>
  <si>
    <t>LEDs</t>
  </si>
  <si>
    <t>Improve Material Mounted on Servo</t>
  </si>
  <si>
    <t>Upgrade RFID Scanner/ Use Thinner Material between Valid Card and Device</t>
  </si>
  <si>
    <t>Scoring Based on 100 Trials using DFMEA AIAG Rating Scale (Severity, Occurrence, Detection)</t>
  </si>
  <si>
    <t>Risk Priority Number Key</t>
  </si>
  <si>
    <t>RPN &gt;= 500</t>
  </si>
  <si>
    <t>100&lt;= RPN &lt;= 199</t>
  </si>
  <si>
    <t>200 &lt;= RPN&lt;= 499</t>
  </si>
  <si>
    <t>RPN &lt; 100</t>
  </si>
  <si>
    <t>DFMEA Summary Report</t>
  </si>
  <si>
    <t>Project: RFID Security Access System</t>
  </si>
  <si>
    <t>Prepared by: Andrew Dikho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</si>
</sst>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0" borderId="0" xfId="0" applyFont="1"/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3" borderId="2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62B2-3ADA-44D5-B9A6-0CFD4B4B7B20}">
  <dimension ref="G5:AB37"/>
  <sheetViews>
    <sheetView tabSelected="1" topLeftCell="D3" zoomScale="73" workbookViewId="0">
      <selection activeCell="U39" sqref="U39"/>
    </sheetView>
  </sheetViews>
  <sheetFormatPr defaultRowHeight="14.25" x14ac:dyDescent="0.45"/>
  <sheetData>
    <row r="5" spans="7:23" ht="17.25" x14ac:dyDescent="0.55000000000000004">
      <c r="G5" s="1" t="s">
        <v>46</v>
      </c>
    </row>
    <row r="6" spans="7:23" ht="17.25" x14ac:dyDescent="0.55000000000000004">
      <c r="G6" s="1" t="s">
        <v>47</v>
      </c>
    </row>
    <row r="7" spans="7:23" ht="17.25" x14ac:dyDescent="0.55000000000000004">
      <c r="G7" s="1" t="s">
        <v>48</v>
      </c>
    </row>
    <row r="10" spans="7:23" x14ac:dyDescent="0.45">
      <c r="U10" s="38" t="s">
        <v>35</v>
      </c>
      <c r="V10" s="38"/>
      <c r="W10" s="38"/>
    </row>
    <row r="11" spans="7:23" x14ac:dyDescent="0.45">
      <c r="U11" s="38" t="s">
        <v>36</v>
      </c>
      <c r="V11" s="38"/>
      <c r="W11" s="38"/>
    </row>
    <row r="14" spans="7:23" x14ac:dyDescent="0.45">
      <c r="G14" s="108" t="s">
        <v>30</v>
      </c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</row>
    <row r="15" spans="7:23" x14ac:dyDescent="0.45"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</row>
    <row r="16" spans="7:23" x14ac:dyDescent="0.45"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</row>
    <row r="18" spans="7:28" ht="14.65" thickBot="1" x14ac:dyDescent="0.5"/>
    <row r="19" spans="7:28" ht="18" thickTop="1" thickBot="1" x14ac:dyDescent="0.6">
      <c r="G19" s="39" t="s">
        <v>0</v>
      </c>
      <c r="H19" s="40"/>
      <c r="I19" s="40" t="s">
        <v>1</v>
      </c>
      <c r="J19" s="40"/>
      <c r="K19" s="40" t="s">
        <v>2</v>
      </c>
      <c r="L19" s="40"/>
      <c r="M19" s="40" t="s">
        <v>3</v>
      </c>
      <c r="N19" s="40"/>
      <c r="O19" s="40" t="s">
        <v>4</v>
      </c>
      <c r="P19" s="40"/>
      <c r="Q19" s="40" t="s">
        <v>5</v>
      </c>
      <c r="R19" s="40"/>
      <c r="S19" s="40" t="s">
        <v>28</v>
      </c>
      <c r="T19" s="40"/>
      <c r="U19" s="41"/>
      <c r="V19" s="39" t="s">
        <v>34</v>
      </c>
      <c r="W19" s="40"/>
      <c r="X19" s="41"/>
      <c r="Z19" s="6" t="s">
        <v>41</v>
      </c>
      <c r="AA19" s="7"/>
      <c r="AB19" s="8"/>
    </row>
    <row r="20" spans="7:28" ht="14.65" thickTop="1" x14ac:dyDescent="0.45">
      <c r="G20" s="98" t="s">
        <v>6</v>
      </c>
      <c r="H20" s="99"/>
      <c r="I20" s="100" t="s">
        <v>12</v>
      </c>
      <c r="J20" s="101"/>
      <c r="K20" s="42" t="s">
        <v>13</v>
      </c>
      <c r="L20" s="106"/>
      <c r="M20" s="107">
        <v>8</v>
      </c>
      <c r="N20" s="90"/>
      <c r="O20" s="90">
        <v>9</v>
      </c>
      <c r="P20" s="90"/>
      <c r="Q20" s="90">
        <v>5</v>
      </c>
      <c r="R20" s="90"/>
      <c r="S20" s="91">
        <f>(M20*O20*Q20)</f>
        <v>360</v>
      </c>
      <c r="T20" s="91"/>
      <c r="U20" s="91"/>
      <c r="V20" s="42" t="s">
        <v>39</v>
      </c>
      <c r="W20" s="43"/>
      <c r="X20" s="44"/>
      <c r="Z20" s="9" t="s">
        <v>42</v>
      </c>
      <c r="AA20" s="10"/>
      <c r="AB20" s="11"/>
    </row>
    <row r="21" spans="7:28" x14ac:dyDescent="0.45">
      <c r="G21" s="77"/>
      <c r="H21" s="78"/>
      <c r="I21" s="57"/>
      <c r="J21" s="102"/>
      <c r="K21" s="83"/>
      <c r="L21" s="84"/>
      <c r="M21" s="60"/>
      <c r="N21" s="32"/>
      <c r="O21" s="32"/>
      <c r="P21" s="32"/>
      <c r="Q21" s="32"/>
      <c r="R21" s="32"/>
      <c r="S21" s="92"/>
      <c r="T21" s="92"/>
      <c r="U21" s="92"/>
      <c r="V21" s="45"/>
      <c r="W21" s="46"/>
      <c r="X21" s="47"/>
      <c r="Z21" s="12" t="s">
        <v>44</v>
      </c>
      <c r="AA21" s="13"/>
      <c r="AB21" s="14"/>
    </row>
    <row r="22" spans="7:28" x14ac:dyDescent="0.45">
      <c r="G22" s="63" t="s">
        <v>7</v>
      </c>
      <c r="H22" s="64"/>
      <c r="I22" s="49" t="s">
        <v>14</v>
      </c>
      <c r="J22" s="67"/>
      <c r="K22" s="49" t="s">
        <v>15</v>
      </c>
      <c r="L22" s="95"/>
      <c r="M22" s="59">
        <v>10</v>
      </c>
      <c r="N22" s="20"/>
      <c r="O22" s="20">
        <v>8</v>
      </c>
      <c r="P22" s="20"/>
      <c r="Q22" s="20">
        <v>8</v>
      </c>
      <c r="R22" s="20"/>
      <c r="S22" s="97">
        <f t="shared" ref="S22" si="0">(M22*O22*Q22)</f>
        <v>640</v>
      </c>
      <c r="T22" s="97"/>
      <c r="U22" s="97"/>
      <c r="V22" s="48" t="s">
        <v>31</v>
      </c>
      <c r="W22" s="34"/>
      <c r="X22" s="35"/>
      <c r="Z22" s="2" t="s">
        <v>43</v>
      </c>
      <c r="AA22" s="3"/>
      <c r="AB22" s="4"/>
    </row>
    <row r="23" spans="7:28" ht="14.65" thickBot="1" x14ac:dyDescent="0.5">
      <c r="G23" s="77"/>
      <c r="H23" s="78"/>
      <c r="I23" s="93"/>
      <c r="J23" s="94"/>
      <c r="K23" s="93"/>
      <c r="L23" s="96"/>
      <c r="M23" s="60"/>
      <c r="N23" s="32"/>
      <c r="O23" s="32"/>
      <c r="P23" s="32"/>
      <c r="Q23" s="32"/>
      <c r="R23" s="32"/>
      <c r="S23" s="92"/>
      <c r="T23" s="92"/>
      <c r="U23" s="92"/>
      <c r="V23" s="48"/>
      <c r="W23" s="34"/>
      <c r="X23" s="35"/>
      <c r="Z23" s="15" t="s">
        <v>45</v>
      </c>
      <c r="AA23" s="16"/>
      <c r="AB23" s="17"/>
    </row>
    <row r="24" spans="7:28" ht="14.65" thickTop="1" x14ac:dyDescent="0.45">
      <c r="G24" s="63" t="s">
        <v>8</v>
      </c>
      <c r="H24" s="64"/>
      <c r="I24" s="25" t="s">
        <v>29</v>
      </c>
      <c r="J24" s="79"/>
      <c r="K24" s="25" t="s">
        <v>16</v>
      </c>
      <c r="L24" s="70"/>
      <c r="M24" s="59">
        <v>8</v>
      </c>
      <c r="N24" s="20"/>
      <c r="O24" s="20">
        <v>6</v>
      </c>
      <c r="P24" s="20"/>
      <c r="Q24" s="20">
        <v>5</v>
      </c>
      <c r="R24" s="20"/>
      <c r="S24" s="88">
        <f t="shared" ref="S24" si="1">(M24*O24*Q24)</f>
        <v>240</v>
      </c>
      <c r="T24" s="88"/>
      <c r="U24" s="88"/>
      <c r="V24" s="49" t="s">
        <v>38</v>
      </c>
      <c r="W24" s="50"/>
      <c r="X24" s="51"/>
      <c r="Z24" s="18"/>
      <c r="AA24" s="18"/>
      <c r="AB24" s="18"/>
    </row>
    <row r="25" spans="7:28" x14ac:dyDescent="0.45">
      <c r="G25" s="77"/>
      <c r="H25" s="78"/>
      <c r="I25" s="28"/>
      <c r="J25" s="80"/>
      <c r="K25" s="28"/>
      <c r="L25" s="85"/>
      <c r="M25" s="60"/>
      <c r="N25" s="32"/>
      <c r="O25" s="32"/>
      <c r="P25" s="32"/>
      <c r="Q25" s="32"/>
      <c r="R25" s="32"/>
      <c r="S25" s="89"/>
      <c r="T25" s="89"/>
      <c r="U25" s="89"/>
      <c r="V25" s="52"/>
      <c r="W25" s="53"/>
      <c r="X25" s="54"/>
    </row>
    <row r="26" spans="7:28" x14ac:dyDescent="0.45">
      <c r="G26" s="63" t="s">
        <v>17</v>
      </c>
      <c r="H26" s="64"/>
      <c r="I26" s="25" t="s">
        <v>18</v>
      </c>
      <c r="J26" s="79"/>
      <c r="K26" s="55" t="s">
        <v>19</v>
      </c>
      <c r="L26" s="56"/>
      <c r="M26" s="59">
        <v>7</v>
      </c>
      <c r="N26" s="20"/>
      <c r="O26" s="20">
        <v>1</v>
      </c>
      <c r="P26" s="20"/>
      <c r="Q26" s="20">
        <v>5</v>
      </c>
      <c r="R26" s="20"/>
      <c r="S26" s="61">
        <f t="shared" ref="S26" si="2">(M26*O26*Q26)</f>
        <v>35</v>
      </c>
      <c r="T26" s="61"/>
      <c r="U26" s="61"/>
      <c r="V26" s="19" t="s">
        <v>32</v>
      </c>
      <c r="W26" s="20"/>
      <c r="X26" s="21"/>
    </row>
    <row r="27" spans="7:28" x14ac:dyDescent="0.45">
      <c r="G27" s="77"/>
      <c r="H27" s="78"/>
      <c r="I27" s="28"/>
      <c r="J27" s="80"/>
      <c r="K27" s="57"/>
      <c r="L27" s="58"/>
      <c r="M27" s="60"/>
      <c r="N27" s="32"/>
      <c r="O27" s="32"/>
      <c r="P27" s="32"/>
      <c r="Q27" s="32"/>
      <c r="R27" s="32"/>
      <c r="S27" s="62"/>
      <c r="T27" s="62"/>
      <c r="U27" s="62"/>
      <c r="V27" s="22"/>
      <c r="W27" s="23"/>
      <c r="X27" s="24"/>
    </row>
    <row r="28" spans="7:28" x14ac:dyDescent="0.45">
      <c r="G28" s="63" t="s">
        <v>9</v>
      </c>
      <c r="H28" s="64"/>
      <c r="I28" s="25" t="s">
        <v>20</v>
      </c>
      <c r="J28" s="79"/>
      <c r="K28" s="25" t="s">
        <v>21</v>
      </c>
      <c r="L28" s="70"/>
      <c r="M28" s="86">
        <v>5</v>
      </c>
      <c r="N28" s="26"/>
      <c r="O28" s="20">
        <v>6</v>
      </c>
      <c r="P28" s="20"/>
      <c r="Q28" s="20">
        <v>4</v>
      </c>
      <c r="R28" s="20"/>
      <c r="S28" s="75">
        <f t="shared" ref="S28" si="3">(M28*O28*Q28)</f>
        <v>120</v>
      </c>
      <c r="T28" s="75"/>
      <c r="U28" s="75"/>
      <c r="V28" s="25" t="s">
        <v>33</v>
      </c>
      <c r="W28" s="26"/>
      <c r="X28" s="27"/>
    </row>
    <row r="29" spans="7:28" x14ac:dyDescent="0.45">
      <c r="G29" s="77"/>
      <c r="H29" s="78"/>
      <c r="I29" s="28"/>
      <c r="J29" s="80"/>
      <c r="K29" s="28"/>
      <c r="L29" s="85"/>
      <c r="M29" s="87"/>
      <c r="N29" s="29"/>
      <c r="O29" s="32"/>
      <c r="P29" s="32"/>
      <c r="Q29" s="32"/>
      <c r="R29" s="32"/>
      <c r="S29" s="76"/>
      <c r="T29" s="76"/>
      <c r="U29" s="76"/>
      <c r="V29" s="28"/>
      <c r="W29" s="29"/>
      <c r="X29" s="30"/>
    </row>
    <row r="30" spans="7:28" x14ac:dyDescent="0.45">
      <c r="G30" s="63" t="s">
        <v>10</v>
      </c>
      <c r="H30" s="64"/>
      <c r="I30" s="25" t="s">
        <v>22</v>
      </c>
      <c r="J30" s="79"/>
      <c r="K30" s="81" t="s">
        <v>23</v>
      </c>
      <c r="L30" s="82"/>
      <c r="M30" s="59">
        <v>1</v>
      </c>
      <c r="N30" s="20"/>
      <c r="O30" s="20">
        <v>1</v>
      </c>
      <c r="P30" s="20"/>
      <c r="Q30" s="20">
        <v>1</v>
      </c>
      <c r="R30" s="20"/>
      <c r="S30" s="61">
        <f t="shared" ref="S30" si="4">(M30*O30*Q30)</f>
        <v>1</v>
      </c>
      <c r="T30" s="61"/>
      <c r="U30" s="61"/>
      <c r="V30" s="22" t="s">
        <v>32</v>
      </c>
      <c r="W30" s="23"/>
      <c r="X30" s="24"/>
    </row>
    <row r="31" spans="7:28" x14ac:dyDescent="0.45">
      <c r="G31" s="77"/>
      <c r="H31" s="78"/>
      <c r="I31" s="28"/>
      <c r="J31" s="80"/>
      <c r="K31" s="83"/>
      <c r="L31" s="84"/>
      <c r="M31" s="60"/>
      <c r="N31" s="32"/>
      <c r="O31" s="32"/>
      <c r="P31" s="32"/>
      <c r="Q31" s="32"/>
      <c r="R31" s="32"/>
      <c r="S31" s="62"/>
      <c r="T31" s="62"/>
      <c r="U31" s="62"/>
      <c r="V31" s="22"/>
      <c r="W31" s="23"/>
      <c r="X31" s="24"/>
    </row>
    <row r="32" spans="7:28" x14ac:dyDescent="0.45">
      <c r="G32" s="63" t="s">
        <v>11</v>
      </c>
      <c r="H32" s="64"/>
      <c r="I32" s="19" t="s">
        <v>24</v>
      </c>
      <c r="J32" s="64"/>
      <c r="K32" s="55" t="s">
        <v>25</v>
      </c>
      <c r="L32" s="56"/>
      <c r="M32" s="59">
        <v>1</v>
      </c>
      <c r="N32" s="20"/>
      <c r="O32" s="20">
        <v>1</v>
      </c>
      <c r="P32" s="20"/>
      <c r="Q32" s="20">
        <v>3</v>
      </c>
      <c r="R32" s="20"/>
      <c r="S32" s="61">
        <f t="shared" ref="S32" si="5">(M32*O32*Q32)</f>
        <v>3</v>
      </c>
      <c r="T32" s="61"/>
      <c r="U32" s="61"/>
      <c r="V32" s="19" t="s">
        <v>32</v>
      </c>
      <c r="W32" s="20"/>
      <c r="X32" s="21"/>
    </row>
    <row r="33" spans="7:24" x14ac:dyDescent="0.45">
      <c r="G33" s="77"/>
      <c r="H33" s="78"/>
      <c r="I33" s="31"/>
      <c r="J33" s="78"/>
      <c r="K33" s="57"/>
      <c r="L33" s="58"/>
      <c r="M33" s="60"/>
      <c r="N33" s="32"/>
      <c r="O33" s="32"/>
      <c r="P33" s="32"/>
      <c r="Q33" s="32"/>
      <c r="R33" s="32"/>
      <c r="S33" s="62"/>
      <c r="T33" s="62"/>
      <c r="U33" s="62"/>
      <c r="V33" s="31"/>
      <c r="W33" s="32"/>
      <c r="X33" s="33"/>
    </row>
    <row r="34" spans="7:24" x14ac:dyDescent="0.45">
      <c r="G34" s="63" t="s">
        <v>37</v>
      </c>
      <c r="H34" s="64"/>
      <c r="I34" s="49" t="s">
        <v>26</v>
      </c>
      <c r="J34" s="67"/>
      <c r="K34" s="25" t="s">
        <v>27</v>
      </c>
      <c r="L34" s="70"/>
      <c r="M34" s="59">
        <v>1</v>
      </c>
      <c r="N34" s="20"/>
      <c r="O34" s="20">
        <v>1</v>
      </c>
      <c r="P34" s="20"/>
      <c r="Q34" s="20">
        <v>1</v>
      </c>
      <c r="R34" s="20"/>
      <c r="S34" s="61">
        <f t="shared" ref="S34" si="6">(M34*O34*Q34)</f>
        <v>1</v>
      </c>
      <c r="T34" s="61"/>
      <c r="U34" s="103"/>
      <c r="V34" s="34" t="s">
        <v>32</v>
      </c>
      <c r="W34" s="34"/>
      <c r="X34" s="35"/>
    </row>
    <row r="35" spans="7:24" ht="14.65" thickBot="1" x14ac:dyDescent="0.5">
      <c r="G35" s="65"/>
      <c r="H35" s="66"/>
      <c r="I35" s="68"/>
      <c r="J35" s="69"/>
      <c r="K35" s="71"/>
      <c r="L35" s="72"/>
      <c r="M35" s="73"/>
      <c r="N35" s="74"/>
      <c r="O35" s="74"/>
      <c r="P35" s="74"/>
      <c r="Q35" s="74"/>
      <c r="R35" s="74"/>
      <c r="S35" s="104"/>
      <c r="T35" s="104"/>
      <c r="U35" s="105"/>
      <c r="V35" s="36"/>
      <c r="W35" s="36"/>
      <c r="X35" s="37"/>
    </row>
    <row r="36" spans="7:24" ht="14.65" thickTop="1" x14ac:dyDescent="0.45"/>
    <row r="37" spans="7:24" x14ac:dyDescent="0.45">
      <c r="L37" s="5" t="s">
        <v>40</v>
      </c>
      <c r="M37" s="5"/>
      <c r="N37" s="5"/>
      <c r="O37" s="5"/>
      <c r="P37" s="5"/>
      <c r="Q37" s="5"/>
      <c r="R37" s="5"/>
      <c r="S37" s="5"/>
      <c r="T37" s="5"/>
      <c r="U37" s="5"/>
    </row>
  </sheetData>
  <mergeCells count="82">
    <mergeCell ref="Q19:R19"/>
    <mergeCell ref="S19:U19"/>
    <mergeCell ref="G20:H21"/>
    <mergeCell ref="I20:J21"/>
    <mergeCell ref="Q34:R35"/>
    <mergeCell ref="S34:U35"/>
    <mergeCell ref="G32:H33"/>
    <mergeCell ref="I32:J33"/>
    <mergeCell ref="K20:L21"/>
    <mergeCell ref="M20:N21"/>
    <mergeCell ref="G19:H19"/>
    <mergeCell ref="I19:J19"/>
    <mergeCell ref="K19:L19"/>
    <mergeCell ref="M19:N19"/>
    <mergeCell ref="O19:P19"/>
    <mergeCell ref="O20:P21"/>
    <mergeCell ref="Q20:R21"/>
    <mergeCell ref="S20:U21"/>
    <mergeCell ref="G22:H23"/>
    <mergeCell ref="I22:J23"/>
    <mergeCell ref="K22:L23"/>
    <mergeCell ref="M22:N23"/>
    <mergeCell ref="O22:P23"/>
    <mergeCell ref="Q22:R23"/>
    <mergeCell ref="S22:U23"/>
    <mergeCell ref="S24:U25"/>
    <mergeCell ref="G26:H27"/>
    <mergeCell ref="I26:J27"/>
    <mergeCell ref="K26:L27"/>
    <mergeCell ref="M26:N27"/>
    <mergeCell ref="O26:P27"/>
    <mergeCell ref="Q26:R27"/>
    <mergeCell ref="S26:U27"/>
    <mergeCell ref="G24:H25"/>
    <mergeCell ref="I24:J25"/>
    <mergeCell ref="K24:L25"/>
    <mergeCell ref="M24:N25"/>
    <mergeCell ref="O24:P25"/>
    <mergeCell ref="Q24:R25"/>
    <mergeCell ref="S28:U29"/>
    <mergeCell ref="G30:H31"/>
    <mergeCell ref="I30:J31"/>
    <mergeCell ref="K30:L31"/>
    <mergeCell ref="M30:N31"/>
    <mergeCell ref="O30:P31"/>
    <mergeCell ref="Q30:R31"/>
    <mergeCell ref="S30:U31"/>
    <mergeCell ref="G28:H29"/>
    <mergeCell ref="I28:J29"/>
    <mergeCell ref="K28:L29"/>
    <mergeCell ref="M28:N29"/>
    <mergeCell ref="O28:P29"/>
    <mergeCell ref="Q28:R29"/>
    <mergeCell ref="Q32:R33"/>
    <mergeCell ref="S32:U33"/>
    <mergeCell ref="G34:H35"/>
    <mergeCell ref="I34:J35"/>
    <mergeCell ref="K34:L35"/>
    <mergeCell ref="M34:N35"/>
    <mergeCell ref="O34:P35"/>
    <mergeCell ref="U10:W10"/>
    <mergeCell ref="U11:W11"/>
    <mergeCell ref="V19:X19"/>
    <mergeCell ref="V20:X21"/>
    <mergeCell ref="V22:X23"/>
    <mergeCell ref="G14:U16"/>
    <mergeCell ref="Z22:AB22"/>
    <mergeCell ref="L37:U37"/>
    <mergeCell ref="Z19:AB19"/>
    <mergeCell ref="Z20:AB20"/>
    <mergeCell ref="Z21:AB21"/>
    <mergeCell ref="Z23:AB23"/>
    <mergeCell ref="Z24:AB24"/>
    <mergeCell ref="V26:X27"/>
    <mergeCell ref="V28:X29"/>
    <mergeCell ref="V30:X31"/>
    <mergeCell ref="V32:X33"/>
    <mergeCell ref="V34:X35"/>
    <mergeCell ref="V24:X25"/>
    <mergeCell ref="K32:L33"/>
    <mergeCell ref="M32:N33"/>
    <mergeCell ref="O32:P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0BFBDC2230374F9B8BAE402AE19FC3" ma:contentTypeVersion="10" ma:contentTypeDescription="Create a new document." ma:contentTypeScope="" ma:versionID="710763541069e2a88536dc3f5eb1dc03">
  <xsd:schema xmlns:xsd="http://www.w3.org/2001/XMLSchema" xmlns:xs="http://www.w3.org/2001/XMLSchema" xmlns:p="http://schemas.microsoft.com/office/2006/metadata/properties" xmlns:ns3="6ac29eab-37b1-4886-b7b8-a5abd086e478" targetNamespace="http://schemas.microsoft.com/office/2006/metadata/properties" ma:root="true" ma:fieldsID="b1e76e0c5b6dc5991987099d93660cdd" ns3:_="">
    <xsd:import namespace="6ac29eab-37b1-4886-b7b8-a5abd086e4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29eab-37b1-4886-b7b8-a5abd086e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c29eab-37b1-4886-b7b8-a5abd086e478" xsi:nil="true"/>
  </documentManagement>
</p:properties>
</file>

<file path=customXml/itemProps1.xml><?xml version="1.0" encoding="utf-8"?>
<ds:datastoreItem xmlns:ds="http://schemas.openxmlformats.org/officeDocument/2006/customXml" ds:itemID="{66EE4D7E-BAB9-402C-A9FD-6D2D036201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BF8AA-5AAB-40AC-B9E4-1BEE92C7B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29eab-37b1-4886-b7b8-a5abd086e4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42C0A6-15DA-484B-B0FF-4CB366A53B22}">
  <ds:schemaRefs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6ac29eab-37b1-4886-b7b8-a5abd086e4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Dikho</dc:creator>
  <cp:lastModifiedBy>Andrew Dikho</cp:lastModifiedBy>
  <dcterms:created xsi:type="dcterms:W3CDTF">2025-08-07T21:44:47Z</dcterms:created>
  <dcterms:modified xsi:type="dcterms:W3CDTF">2025-08-07T23:51:11Z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0x0101000A0BFBDC2230374F9B8BAE402AE19FC3</vt:lpwstr>
  </property>
</Properties>
</file>